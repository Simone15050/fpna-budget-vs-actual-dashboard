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aedc440e934594/Documents/Excel Projects/"/>
    </mc:Choice>
  </mc:AlternateContent>
  <xr:revisionPtr revIDLastSave="211" documentId="8_{2F5EB68E-755C-445E-AAB7-F6201F0DA318}" xr6:coauthVersionLast="47" xr6:coauthVersionMax="47" xr10:uidLastSave="{D687183D-DCBC-414F-9DAD-4BE3DECD7754}"/>
  <bookViews>
    <workbookView xWindow="-120" yWindow="-120" windowWidth="26640" windowHeight="15090" activeTab="1" xr2:uid="{7530095C-A127-4603-A38E-BB1EB71673A6}"/>
  </bookViews>
  <sheets>
    <sheet name="Project_Overview" sheetId="4" r:id="rId1"/>
    <sheet name="Financial_Data" sheetId="1" r:id="rId2"/>
    <sheet name="FP&amp;A_Dashboard" sheetId="2" r:id="rId3"/>
  </sheets>
  <definedNames>
    <definedName name="_xlnm.Print_Area" localSheetId="1">Financial_Data!$A$1:$M$13</definedName>
    <definedName name="_xlnm.Print_Area" localSheetId="2">'FP&amp;A_Dashboard'!$B$1:$L$56</definedName>
    <definedName name="_xlnm.Print_Area" localSheetId="0">Project_Overview!$A$1:$A$13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H3" i="2"/>
  <c r="F3" i="2"/>
  <c r="D3" i="2"/>
  <c r="B3" i="2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I2" i="1"/>
  <c r="J2" i="1"/>
  <c r="K2" i="1"/>
  <c r="M2" i="1" s="1"/>
  <c r="H2" i="1"/>
  <c r="L2" i="1" l="1"/>
</calcChain>
</file>

<file path=xl/sharedStrings.xml><?xml version="1.0" encoding="utf-8"?>
<sst xmlns="http://schemas.openxmlformats.org/spreadsheetml/2006/main" count="40" uniqueCount="40">
  <si>
    <t>Month</t>
  </si>
  <si>
    <t>Budget Revenue</t>
  </si>
  <si>
    <t>Actual Revenue</t>
  </si>
  <si>
    <t>Budget COGS</t>
  </si>
  <si>
    <t>Actual COGS</t>
  </si>
  <si>
    <t>Budget Operating Exp</t>
  </si>
  <si>
    <t>Actual Operating Exp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</si>
  <si>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</si>
  <si>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</si>
  <si>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</si>
  <si>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</si>
  <si>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</si>
  <si>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</si>
  <si>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</si>
  <si>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</si>
  <si>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</si>
  <si>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</si>
  <si>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</si>
  <si>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</si>
  <si>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Variance $</t>
  </si>
  <si>
    <t>Revenue Variance %</t>
  </si>
  <si>
    <t>Expense Variance $</t>
  </si>
  <si>
    <t>Net  Income (Actual)</t>
  </si>
  <si>
    <t>Total Budget Revenue</t>
  </si>
  <si>
    <t>Total Actual Revenue</t>
  </si>
  <si>
    <t>Total Revenue Variance</t>
  </si>
  <si>
    <t>Total Net Income</t>
  </si>
  <si>
    <t>Profit Margin</t>
  </si>
  <si>
    <t>Budget Expense</t>
  </si>
  <si>
    <t>Actual Expense</t>
  </si>
  <si>
    <t>Financial Planning &amp; Analysis (FP&amp;A) Budget vs Actual Dashboard</t>
  </si>
  <si>
    <t>Jordan Brown</t>
  </si>
  <si>
    <t>Project Overview</t>
  </si>
  <si>
    <t>Tools &amp; Skills Demonstrated</t>
  </si>
  <si>
    <t>• Excel financial modeling</t>
  </si>
  <si>
    <t>• Budget vs Actual variance analysis</t>
  </si>
  <si>
    <t>• KPI dashboard development</t>
  </si>
  <si>
    <t>• Conditional formatting &amp; structured reporting</t>
  </si>
  <si>
    <t>• Profit margin and net income analysis</t>
  </si>
  <si>
    <t>This project simulates a 12-month financial performance analysis for a business unit. The model compares budgeted and actual revenue and expenses, calculates monthly and annual variances, and presents key financial metrics through an executive-ready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</si>
</sst>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72" formatCode="[$-409]mmmm\ d\,\ 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72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10" fontId="2" fillId="0" borderId="0" xfId="2" applyNumberFormat="1" applyFont="1"/>
    <xf numFmtId="164" fontId="2" fillId="0" borderId="0" xfId="0" applyNumberFormat="1" applyFont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4">
    <dxf>
      <fill>
        <patternFill>
          <bgColor rgb="FFFF6743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4B21"/>
        </patternFill>
      </fill>
    </dxf>
  </dxfs>
  <tableStyles count="0" defaultTableStyle="TableStyleMedium2" defaultPivotStyle="PivotStyleLight16"/>
  <colors>
    <mruColors>
      <color rgb="FFFF6743"/>
      <color rgb="FFFF4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Revenue: Budget vs</a:t>
            </a:r>
            <a:r>
              <a:rPr lang="en-US" b="1" baseline="0"/>
              <a:t>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Financial_Data!$B$1</c:f>
              <c:strCache>
                <c:ptCount val="1"/>
                <c:pt idx="0">
                  <c:v> Budget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Financial_Data!$B$2:$B$13</c:f>
              <c:numCache>
                <c:formatCode>_("$"* #,##0_);_("$"* \(#,##0\);_("$"* "-"??_);_(@_)</c:formatCode>
                <c:ptCount val="12"/>
                <c:pt idx="0">
                  <c:v>500000</c:v>
                </c:pt>
                <c:pt idx="1">
                  <c:v>520000</c:v>
                </c:pt>
                <c:pt idx="2">
                  <c:v>540000</c:v>
                </c:pt>
                <c:pt idx="3">
                  <c:v>550000</c:v>
                </c:pt>
                <c:pt idx="4">
                  <c:v>580000</c:v>
                </c:pt>
                <c:pt idx="5">
                  <c:v>600000</c:v>
                </c:pt>
                <c:pt idx="6">
                  <c:v>620000</c:v>
                </c:pt>
                <c:pt idx="7">
                  <c:v>640000</c:v>
                </c:pt>
                <c:pt idx="8">
                  <c:v>660000</c:v>
                </c:pt>
                <c:pt idx="9">
                  <c:v>680000</c:v>
                </c:pt>
                <c:pt idx="10">
                  <c:v>700000</c:v>
                </c:pt>
                <c:pt idx="11">
                  <c:v>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7-4586-AEAF-BC9B554CDE7A}"/>
            </c:ext>
          </c:extLst>
        </c:ser>
        <c:ser>
          <c:idx val="1"/>
          <c:order val="1"/>
          <c:tx>
            <c:strRef>
              <c:f>Financial_Data!$C$1</c:f>
              <c:strCache>
                <c:ptCount val="1"/>
                <c:pt idx="0">
                  <c:v> Actual Revenue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Financial_Data!$C$2:$C$13</c:f>
              <c:numCache>
                <c:formatCode>_("$"* #,##0_);_("$"* \(#,##0\);_("$"* "-"??_);_(@_)</c:formatCode>
                <c:ptCount val="12"/>
                <c:pt idx="0">
                  <c:v>520000</c:v>
                </c:pt>
                <c:pt idx="1">
                  <c:v>510000</c:v>
                </c:pt>
                <c:pt idx="2">
                  <c:v>560000</c:v>
                </c:pt>
                <c:pt idx="3">
                  <c:v>540000</c:v>
                </c:pt>
                <c:pt idx="4">
                  <c:v>600000</c:v>
                </c:pt>
                <c:pt idx="5">
                  <c:v>620000</c:v>
                </c:pt>
                <c:pt idx="6">
                  <c:v>610000</c:v>
                </c:pt>
                <c:pt idx="7">
                  <c:v>660000</c:v>
                </c:pt>
                <c:pt idx="8">
                  <c:v>670000</c:v>
                </c:pt>
                <c:pt idx="9">
                  <c:v>690000</c:v>
                </c:pt>
                <c:pt idx="10">
                  <c:v>710000</c:v>
                </c:pt>
                <c:pt idx="11">
                  <c:v>780000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7-4586-AEAF-BC9B554CD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20768"/>
        <c:axId val="894615488"/>
      </c:lineChart>
      <c:catAx>
        <c:axId val="8946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15488"/>
        <c:crosses val="autoZero"/>
        <c:auto val="1"/>
        <c:lblAlgn val="ctr"/>
        <c:lblOffset val="100"/>
        <c:noMultiLvlLbl val="0"/>
      </c:catAx>
      <c:valAx>
        <c:axId val="8946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Expense:</a:t>
            </a:r>
            <a:r>
              <a:rPr lang="en-US" b="1" baseline="0"/>
              <a:t>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Financial_Data!$J$1</c:f>
              <c:strCache>
                <c:ptCount val="1"/>
                <c:pt idx="0">
                  <c:v> Budget Expense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Financial_Data!$J$2:$J$13</c:f>
              <c:numCache>
                <c:formatCode>_("$"* #,##0_);_("$"* \(#,##0\);_("$"* "-"??_);_(@_)</c:formatCode>
                <c:ptCount val="12"/>
                <c:pt idx="0">
                  <c:v>300000</c:v>
                </c:pt>
                <c:pt idx="1">
                  <c:v>315000</c:v>
                </c:pt>
                <c:pt idx="2">
                  <c:v>325000</c:v>
                </c:pt>
                <c:pt idx="3">
                  <c:v>335000</c:v>
                </c:pt>
                <c:pt idx="4">
                  <c:v>350000</c:v>
                </c:pt>
                <c:pt idx="5">
                  <c:v>365000</c:v>
                </c:pt>
                <c:pt idx="6">
                  <c:v>380000</c:v>
                </c:pt>
                <c:pt idx="7">
                  <c:v>395000</c:v>
                </c:pt>
                <c:pt idx="8">
                  <c:v>410000</c:v>
                </c:pt>
                <c:pt idx="9">
                  <c:v>425000</c:v>
                </c:pt>
                <c:pt idx="10">
                  <c:v>440000</c:v>
                </c:pt>
                <c:pt idx="11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C-40EA-8F74-0C60BBAFC731}"/>
            </c:ext>
          </c:extLst>
        </c:ser>
        <c:ser>
          <c:idx val="1"/>
          <c:order val="1"/>
          <c:tx>
            <c:strRef>
              <c:f>Financial_Data!$K$1</c:f>
              <c:strCache>
                <c:ptCount val="1"/>
                <c:pt idx="0">
                  <c:v> Actual Expense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Financial_Data!$K$2:$K$13</c:f>
              <c:numCache>
                <c:formatCode>_("$"* #,##0_);_("$"* \(#,##0\);_("$"* "-"??_);_(@_)</c:formatCode>
                <c:ptCount val="12"/>
                <c:pt idx="0">
                  <c:v>315000</c:v>
                </c:pt>
                <c:pt idx="1">
                  <c:v>307000</c:v>
                </c:pt>
                <c:pt idx="2">
                  <c:v>328000</c:v>
                </c:pt>
                <c:pt idx="3">
                  <c:v>345000</c:v>
                </c:pt>
                <c:pt idx="4">
                  <c:v>353000</c:v>
                </c:pt>
                <c:pt idx="5">
                  <c:v>375000</c:v>
                </c:pt>
                <c:pt idx="6">
                  <c:v>376000</c:v>
                </c:pt>
                <c:pt idx="7">
                  <c:v>410000</c:v>
                </c:pt>
                <c:pt idx="8">
                  <c:v>417000</c:v>
                </c:pt>
                <c:pt idx="9">
                  <c:v>435000</c:v>
                </c:pt>
                <c:pt idx="10">
                  <c:v>450000</c:v>
                </c:pt>
                <c:pt idx="11">
                  <c:v>485000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C-40EA-8F74-0C60BBAFC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531776"/>
        <c:axId val="952536096"/>
      </c:lineChart>
      <c:catAx>
        <c:axId val="95253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36096"/>
        <c:crosses val="autoZero"/>
        <c:auto val="1"/>
        <c:lblAlgn val="ctr"/>
        <c:lblOffset val="100"/>
        <c:noMultiLvlLbl val="0"/>
      </c:catAx>
      <c:valAx>
        <c:axId val="9525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3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Revenue Variance $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Financial_Data!$H$1</c:f>
              <c:strCache>
                <c:ptCount val="1"/>
                <c:pt idx="0">
                  <c:v> Revenue Variance $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Financial_Data!$H$2:$H$13</c:f>
              <c:numCache>
                <c:formatCode>_("$"* #,##0_);_("$"* \(#,##0\);_("$"* "-"??_);_(@_)</c:formatCode>
                <c:ptCount val="12"/>
                <c:pt idx="0">
                  <c:v>20000</c:v>
                </c:pt>
                <c:pt idx="1">
                  <c:v>-10000</c:v>
                </c:pt>
                <c:pt idx="2">
                  <c:v>20000</c:v>
                </c:pt>
                <c:pt idx="3">
                  <c:v>-10000</c:v>
                </c:pt>
                <c:pt idx="4">
                  <c:v>20000</c:v>
                </c:pt>
                <c:pt idx="5">
                  <c:v>20000</c:v>
                </c:pt>
                <c:pt idx="6">
                  <c:v>-10000</c:v>
                </c:pt>
                <c:pt idx="7">
                  <c:v>20000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9-4CD9-8C25-7D68519F6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54496"/>
        <c:axId val="952451616"/>
      </c:barChart>
      <c:catAx>
        <c:axId val="95245449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51616"/>
        <c:crosses val="max"/>
        <c:auto val="1"/>
        <c:lblAlgn val="ctr"/>
        <c:lblOffset val="100"/>
        <c:noMultiLvlLbl val="0"/>
      </c:catAx>
      <c:valAx>
        <c:axId val="9524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4</xdr:row>
      <xdr:rowOff>161925</xdr:rowOff>
    </xdr:from>
    <xdr:to>
      <xdr:col>8</xdr:col>
      <xdr:colOff>57150</xdr:colOff>
      <xdr:row>19</xdr:row>
      <xdr:rowOff>47625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01C2FDA-55DE-4441-4B83-7419E15B0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638175</xdr:colOff>
      <xdr:row>19</xdr:row>
      <xdr:rowOff>76200</xdr:rowOff>
    </xdr:from>
    <xdr:to>
      <xdr:col>8</xdr:col>
      <xdr:colOff>57150</xdr:colOff>
      <xdr:row>33</xdr:row>
      <xdr:rowOff>152400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2F9804C9-B3E4-792F-AC6A-31C37E103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628650</xdr:colOff>
      <xdr:row>34</xdr:row>
      <xdr:rowOff>38100</xdr:rowOff>
    </xdr:from>
    <xdr:to>
      <xdr:col>8</xdr:col>
      <xdr:colOff>47625</xdr:colOff>
      <xdr:row>48</xdr:row>
      <xdr:rowOff>114300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55F6638-543A-1402-763D-32B65FDD2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600075</xdr:colOff>
      <xdr:row>50</xdr:row>
      <xdr:rowOff>123825</xdr:rowOff>
    </xdr:from>
    <xdr:ext cx="7055842" cy="95346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856ADD-2BA7-3B71-DEC9-174FBAD0944D}"/>
            </a:ext>
          </a:extLst>
        </xdr:cNvPr>
        <xdr:cNvSpPr txBox="1"/>
      </xdr:nvSpPr>
      <xdr:spPr>
        <a:xfrm>
          <a:off x="3209925" y="9648825"/>
          <a:ext cx="7055842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b="1"/>
            <a:t>Executive Summary</a:t>
          </a:r>
        </a:p>
        <a:p>
          <a:r>
            <a:rPr lang="en-US"/>
            <a:t>• Actual revenue exceeded budget in 9 of 12 months, with strongest performance observed in Q4.</a:t>
          </a:r>
          <a:br>
            <a:rPr lang="en-US"/>
          </a:br>
          <a:r>
            <a:rPr lang="en-US"/>
            <a:t>• Actual expenses slightly exceeded budget in several months, though overall variances remained moderate and controlled.</a:t>
          </a:r>
          <a:br>
            <a:rPr lang="en-US"/>
          </a:br>
          <a:r>
            <a:rPr lang="en-US"/>
            <a:t>• Total annual revenue variance was favorable at </a:t>
          </a:r>
          <a:r>
            <a:rPr lang="en-US" b="1"/>
            <a:t>$130,000</a:t>
          </a:r>
          <a:r>
            <a:rPr lang="en-US"/>
            <a:t>, indicating stronger-than-expected top-line performance.</a:t>
          </a:r>
          <a:br>
            <a:rPr lang="en-US"/>
          </a:br>
          <a:r>
            <a:rPr lang="en-US"/>
            <a:t>• Net income reached </a:t>
          </a:r>
          <a:r>
            <a:rPr lang="en-US" b="1"/>
            <a:t>$2.87M</a:t>
          </a:r>
          <a:r>
            <a:rPr lang="en-US"/>
            <a:t>, resulting in a </a:t>
          </a:r>
          <a:r>
            <a:rPr lang="en-US" b="1"/>
            <a:t>38.47% profit margin</a:t>
          </a:r>
          <a:r>
            <a:rPr lang="en-US"/>
            <a:t> for the year.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CB44-3C42-4DCF-B6B4-D5D858AFEB04}">
  <dimension ref="A1:A13"/>
  <sheetViews>
    <sheetView showGridLines="0" workbookViewId="0">
      <selection sqref="A1:A13"/>
    </sheetView>
  </sheetViews>
  <sheetFormatPr defaultRowHeight="15" x14ac:dyDescent="0.25"/>
  <cols>
    <col min="1" max="1" width="84" customWidth="1"/>
  </cols>
  <sheetData>
    <row r="1" spans="1:1" ht="21" x14ac:dyDescent="0.35">
      <c r="A1" s="14" t="s">
        <v>30</v>
      </c>
    </row>
    <row r="2" spans="1:1" ht="15.75" x14ac:dyDescent="0.25">
      <c r="A2" s="13" t="s">
        <v>31</v>
      </c>
    </row>
    <row r="3" spans="1:1" x14ac:dyDescent="0.25">
      <c r="A3" s="10">
        <v>46054</v>
      </c>
    </row>
    <row r="5" spans="1:1" x14ac:dyDescent="0.25">
      <c r="A5" s="12" t="s">
        <v>32</v>
      </c>
    </row>
    <row r="6" spans="1:1" ht="45" customHeight="1" x14ac:dyDescent="0.25">
      <c r="A6" s="11" t="s">
        <v>39</v>
      </c>
    </row>
    <row r="8" spans="1:1" x14ac:dyDescent="0.25">
      <c r="A8" s="12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EDA5-C515-402F-8E7C-8BCDCA17FDBA}">
  <sheetPr>
    <pageSetUpPr fitToPage="1"/>
  </sheetPr>
  <dimension ref="A1:M13"/>
  <sheetViews>
    <sheetView tabSelected="1" workbookViewId="0">
      <selection activeCell="E10" sqref="E10"/>
    </sheetView>
  </sheetViews>
  <sheetFormatPr defaultRowHeight="15" x14ac:dyDescent="0.25"/>
  <cols>
    <col min="1" max="1" width="6.7109375" bestFit="1" customWidth="1"/>
    <col min="2" max="2" width="17.42578125" style="1" bestFit="1" customWidth="1"/>
    <col min="3" max="3" width="16.5703125" style="1" bestFit="1" customWidth="1"/>
    <col min="4" max="4" width="14.7109375" style="1" bestFit="1" customWidth="1"/>
    <col min="5" max="5" width="14" style="1" bestFit="1" customWidth="1"/>
    <col min="6" max="6" width="22.140625" style="1" bestFit="1" customWidth="1"/>
    <col min="7" max="7" width="21.42578125" style="1" bestFit="1" customWidth="1"/>
    <col min="8" max="8" width="20.28515625" style="1" bestFit="1" customWidth="1"/>
    <col min="9" max="9" width="19.42578125" style="2" bestFit="1" customWidth="1"/>
    <col min="10" max="10" width="17" style="1" bestFit="1" customWidth="1"/>
    <col min="11" max="11" width="16.28515625" style="1" bestFit="1" customWidth="1"/>
    <col min="12" max="13" width="20" style="1" bestFit="1" customWidth="1"/>
  </cols>
  <sheetData>
    <row r="1" spans="1:13" s="12" customFormat="1" x14ac:dyDescent="0.25">
      <c r="A1" s="1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19</v>
      </c>
      <c r="I1" s="16" t="s">
        <v>20</v>
      </c>
      <c r="J1" s="15" t="s">
        <v>28</v>
      </c>
      <c r="K1" s="15" t="s">
        <v>29</v>
      </c>
      <c r="L1" s="15" t="s">
        <v>21</v>
      </c>
      <c r="M1" s="17" t="s">
        <v>22</v>
      </c>
    </row>
    <row r="2" spans="1:13" x14ac:dyDescent="0.25">
      <c r="A2" t="s">
        <v>7</v>
      </c>
      <c r="B2" s="1">
        <v>500000</v>
      </c>
      <c r="C2" s="1">
        <v>520000</v>
      </c>
      <c r="D2" s="1">
        <v>200000</v>
      </c>
      <c r="E2" s="1">
        <v>210000</v>
      </c>
      <c r="F2" s="1">
        <v>100000</v>
      </c>
      <c r="G2" s="1">
        <v>105000</v>
      </c>
      <c r="H2" s="1">
        <f>C2-B2</f>
        <v>20000</v>
      </c>
      <c r="I2" s="2">
        <f>(C2-B2)/B2</f>
        <v>0.04</v>
      </c>
      <c r="J2" s="1">
        <f>D2+F2</f>
        <v>300000</v>
      </c>
      <c r="K2" s="1">
        <f>E2+G2</f>
        <v>315000</v>
      </c>
      <c r="L2" s="1">
        <f>K2-J2</f>
        <v>15000</v>
      </c>
      <c r="M2" s="1">
        <f>C2-K2</f>
        <v>205000</v>
      </c>
    </row>
    <row r="3" spans="1:13" x14ac:dyDescent="0.25">
      <c r="A3" t="s">
        <v>8</v>
      </c>
      <c r="B3" s="1">
        <v>520000</v>
      </c>
      <c r="C3" s="1">
        <v>510000</v>
      </c>
      <c r="D3" s="1">
        <v>210000</v>
      </c>
      <c r="E3" s="1">
        <v>205000</v>
      </c>
      <c r="F3" s="1">
        <v>105000</v>
      </c>
      <c r="G3" s="1">
        <v>102000</v>
      </c>
      <c r="H3" s="1">
        <f>C3-B3</f>
        <v>-10000</v>
      </c>
      <c r="I3" s="2">
        <f t="shared" ref="I3:I13" si="0">(C3-B3)/B3</f>
        <v>-1.9230769230769232E-2</v>
      </c>
      <c r="J3" s="1">
        <f t="shared" ref="J3:J13" si="1">D3+F3</f>
        <v>315000</v>
      </c>
      <c r="K3" s="1">
        <f t="shared" ref="K3:K13" si="2">E3+G3</f>
        <v>307000</v>
      </c>
      <c r="L3" s="1">
        <f t="shared" ref="L3:L13" si="3">K3-J3</f>
        <v>-8000</v>
      </c>
      <c r="M3" s="1">
        <f t="shared" ref="M3:M13" si="4">C3-K3</f>
        <v>203000</v>
      </c>
    </row>
    <row r="4" spans="1:13" x14ac:dyDescent="0.25">
      <c r="A4" t="s">
        <v>9</v>
      </c>
      <c r="B4" s="1">
        <v>540000</v>
      </c>
      <c r="C4" s="1">
        <v>560000</v>
      </c>
      <c r="D4" s="1">
        <v>215000</v>
      </c>
      <c r="E4" s="1">
        <v>220000</v>
      </c>
      <c r="F4" s="1">
        <v>110000</v>
      </c>
      <c r="G4" s="1">
        <v>108000</v>
      </c>
      <c r="H4" s="1">
        <f t="shared" ref="H4:H13" si="5">C4-B4</f>
        <v>20000</v>
      </c>
      <c r="I4" s="2">
        <f t="shared" si="0"/>
        <v>3.7037037037037035E-2</v>
      </c>
      <c r="J4" s="1">
        <f t="shared" si="1"/>
        <v>325000</v>
      </c>
      <c r="K4" s="1">
        <f t="shared" si="2"/>
        <v>328000</v>
      </c>
      <c r="L4" s="1">
        <f t="shared" si="3"/>
        <v>3000</v>
      </c>
      <c r="M4" s="1">
        <f t="shared" si="4"/>
        <v>232000</v>
      </c>
    </row>
    <row r="5" spans="1:13" x14ac:dyDescent="0.25">
      <c r="A5" t="s">
        <v>10</v>
      </c>
      <c r="B5" s="1">
        <v>550000</v>
      </c>
      <c r="C5" s="1">
        <v>540000</v>
      </c>
      <c r="D5" s="1">
        <v>220000</v>
      </c>
      <c r="E5" s="1">
        <v>225000</v>
      </c>
      <c r="F5" s="1">
        <v>115000</v>
      </c>
      <c r="G5" s="1">
        <v>120000</v>
      </c>
      <c r="H5" s="1">
        <f t="shared" si="5"/>
        <v>-10000</v>
      </c>
      <c r="I5" s="2">
        <f t="shared" si="0"/>
        <v>-1.8181818181818181E-2</v>
      </c>
      <c r="J5" s="1">
        <f t="shared" si="1"/>
        <v>335000</v>
      </c>
      <c r="K5" s="1">
        <f t="shared" si="2"/>
        <v>345000</v>
      </c>
      <c r="L5" s="1">
        <f t="shared" si="3"/>
        <v>10000</v>
      </c>
      <c r="M5" s="1">
        <f t="shared" si="4"/>
        <v>195000</v>
      </c>
    </row>
    <row r="6" spans="1:13" x14ac:dyDescent="0.25">
      <c r="A6" t="s">
        <v>11</v>
      </c>
      <c r="B6" s="1">
        <v>580000</v>
      </c>
      <c r="C6" s="1">
        <v>600000</v>
      </c>
      <c r="D6" s="1">
        <v>230000</v>
      </c>
      <c r="E6" s="1">
        <v>235000</v>
      </c>
      <c r="F6" s="1">
        <v>120000</v>
      </c>
      <c r="G6" s="1">
        <v>118000</v>
      </c>
      <c r="H6" s="1">
        <f t="shared" si="5"/>
        <v>20000</v>
      </c>
      <c r="I6" s="2">
        <f t="shared" si="0"/>
        <v>3.4482758620689655E-2</v>
      </c>
      <c r="J6" s="1">
        <f t="shared" si="1"/>
        <v>350000</v>
      </c>
      <c r="K6" s="1">
        <f t="shared" si="2"/>
        <v>353000</v>
      </c>
      <c r="L6" s="1">
        <f t="shared" si="3"/>
        <v>3000</v>
      </c>
      <c r="M6" s="1">
        <f t="shared" si="4"/>
        <v>247000</v>
      </c>
    </row>
    <row r="7" spans="1:13" x14ac:dyDescent="0.25">
      <c r="A7" t="s">
        <v>12</v>
      </c>
      <c r="B7" s="1">
        <v>600000</v>
      </c>
      <c r="C7" s="1">
        <v>620000</v>
      </c>
      <c r="D7" s="1">
        <v>240000</v>
      </c>
      <c r="E7" s="1">
        <v>245000</v>
      </c>
      <c r="F7" s="1">
        <v>125000</v>
      </c>
      <c r="G7" s="1">
        <v>130000</v>
      </c>
      <c r="H7" s="1">
        <f t="shared" si="5"/>
        <v>20000</v>
      </c>
      <c r="I7" s="2">
        <f t="shared" si="0"/>
        <v>3.3333333333333333E-2</v>
      </c>
      <c r="J7" s="1">
        <f t="shared" si="1"/>
        <v>365000</v>
      </c>
      <c r="K7" s="1">
        <f t="shared" si="2"/>
        <v>375000</v>
      </c>
      <c r="L7" s="1">
        <f t="shared" si="3"/>
        <v>10000</v>
      </c>
      <c r="M7" s="1">
        <f t="shared" si="4"/>
        <v>245000</v>
      </c>
    </row>
    <row r="8" spans="1:13" x14ac:dyDescent="0.25">
      <c r="A8" t="s">
        <v>13</v>
      </c>
      <c r="B8" s="1">
        <v>620000</v>
      </c>
      <c r="C8" s="1">
        <v>610000</v>
      </c>
      <c r="D8" s="1">
        <v>250000</v>
      </c>
      <c r="E8" s="1">
        <v>248000</v>
      </c>
      <c r="F8" s="1">
        <v>130000</v>
      </c>
      <c r="G8" s="1">
        <v>128000</v>
      </c>
      <c r="H8" s="1">
        <f t="shared" si="5"/>
        <v>-10000</v>
      </c>
      <c r="I8" s="2">
        <f t="shared" si="0"/>
        <v>-1.6129032258064516E-2</v>
      </c>
      <c r="J8" s="1">
        <f t="shared" si="1"/>
        <v>380000</v>
      </c>
      <c r="K8" s="1">
        <f t="shared" si="2"/>
        <v>376000</v>
      </c>
      <c r="L8" s="1">
        <f t="shared" si="3"/>
        <v>-4000</v>
      </c>
      <c r="M8" s="1">
        <f t="shared" si="4"/>
        <v>234000</v>
      </c>
    </row>
    <row r="9" spans="1:13" x14ac:dyDescent="0.25">
      <c r="A9" t="s">
        <v>14</v>
      </c>
      <c r="B9" s="1">
        <v>640000</v>
      </c>
      <c r="C9" s="1">
        <v>660000</v>
      </c>
      <c r="D9" s="1">
        <v>260000</v>
      </c>
      <c r="E9" s="1">
        <v>270000</v>
      </c>
      <c r="F9" s="1">
        <v>135000</v>
      </c>
      <c r="G9" s="1">
        <v>140000</v>
      </c>
      <c r="H9" s="1">
        <f t="shared" si="5"/>
        <v>20000</v>
      </c>
      <c r="I9" s="2">
        <f t="shared" si="0"/>
        <v>3.125E-2</v>
      </c>
      <c r="J9" s="1">
        <f t="shared" si="1"/>
        <v>395000</v>
      </c>
      <c r="K9" s="1">
        <f t="shared" si="2"/>
        <v>410000</v>
      </c>
      <c r="L9" s="1">
        <f t="shared" si="3"/>
        <v>15000</v>
      </c>
      <c r="M9" s="1">
        <f t="shared" si="4"/>
        <v>250000</v>
      </c>
    </row>
    <row r="10" spans="1:13" x14ac:dyDescent="0.25">
      <c r="A10" t="s">
        <v>15</v>
      </c>
      <c r="B10" s="1">
        <v>660000</v>
      </c>
      <c r="C10" s="1">
        <v>670000</v>
      </c>
      <c r="D10" s="1">
        <v>270000</v>
      </c>
      <c r="E10" s="1">
        <v>275000</v>
      </c>
      <c r="F10" s="1">
        <v>140000</v>
      </c>
      <c r="G10" s="1">
        <v>142000</v>
      </c>
      <c r="H10" s="1">
        <f t="shared" si="5"/>
        <v>10000</v>
      </c>
      <c r="I10" s="2">
        <f t="shared" si="0"/>
        <v>1.5151515151515152E-2</v>
      </c>
      <c r="J10" s="1">
        <f t="shared" si="1"/>
        <v>410000</v>
      </c>
      <c r="K10" s="1">
        <f t="shared" si="2"/>
        <v>417000</v>
      </c>
      <c r="L10" s="1">
        <f t="shared" si="3"/>
        <v>7000</v>
      </c>
      <c r="M10" s="1">
        <f t="shared" si="4"/>
        <v>253000</v>
      </c>
    </row>
    <row r="11" spans="1:13" x14ac:dyDescent="0.25">
      <c r="A11" t="s">
        <v>16</v>
      </c>
      <c r="B11" s="1">
        <v>680000</v>
      </c>
      <c r="C11" s="1">
        <v>690000</v>
      </c>
      <c r="D11" s="1">
        <v>280000</v>
      </c>
      <c r="E11" s="1">
        <v>285000</v>
      </c>
      <c r="F11" s="1">
        <v>145000</v>
      </c>
      <c r="G11" s="1">
        <v>150000</v>
      </c>
      <c r="H11" s="1">
        <f t="shared" si="5"/>
        <v>10000</v>
      </c>
      <c r="I11" s="2">
        <f t="shared" si="0"/>
        <v>1.4705882352941176E-2</v>
      </c>
      <c r="J11" s="1">
        <f t="shared" si="1"/>
        <v>425000</v>
      </c>
      <c r="K11" s="1">
        <f t="shared" si="2"/>
        <v>435000</v>
      </c>
      <c r="L11" s="1">
        <f t="shared" si="3"/>
        <v>10000</v>
      </c>
      <c r="M11" s="1">
        <f t="shared" si="4"/>
        <v>255000</v>
      </c>
    </row>
    <row r="12" spans="1:13" x14ac:dyDescent="0.25">
      <c r="A12" t="s">
        <v>17</v>
      </c>
      <c r="B12" s="1">
        <v>700000</v>
      </c>
      <c r="C12" s="1">
        <v>710000</v>
      </c>
      <c r="D12" s="1">
        <v>290000</v>
      </c>
      <c r="E12" s="1">
        <v>295000</v>
      </c>
      <c r="F12" s="1">
        <v>150000</v>
      </c>
      <c r="G12" s="1">
        <v>155000</v>
      </c>
      <c r="H12" s="1">
        <f t="shared" si="5"/>
        <v>10000</v>
      </c>
      <c r="I12" s="2">
        <f t="shared" si="0"/>
        <v>1.4285714285714285E-2</v>
      </c>
      <c r="J12" s="1">
        <f t="shared" si="1"/>
        <v>440000</v>
      </c>
      <c r="K12" s="1">
        <f t="shared" si="2"/>
        <v>450000</v>
      </c>
      <c r="L12" s="1">
        <f t="shared" si="3"/>
        <v>10000</v>
      </c>
      <c r="M12" s="1">
        <f t="shared" si="4"/>
        <v>260000</v>
      </c>
    </row>
    <row r="13" spans="1:13" x14ac:dyDescent="0.25">
      <c r="A13" t="s">
        <v>18</v>
      </c>
      <c r="B13" s="1">
        <v>750000</v>
      </c>
      <c r="C13" s="1">
        <v>780000</v>
      </c>
      <c r="D13" s="1">
        <v>310000</v>
      </c>
      <c r="E13" s="1">
        <v>320000</v>
      </c>
      <c r="F13" s="1">
        <v>160000</v>
      </c>
      <c r="G13" s="1">
        <v>165000</v>
      </c>
      <c r="H13" s="1">
        <f t="shared" si="5"/>
        <v>30000</v>
      </c>
      <c r="I13" s="2">
        <f t="shared" si="0"/>
        <v>0.04</v>
      </c>
      <c r="J13" s="1">
        <f t="shared" si="1"/>
        <v>470000</v>
      </c>
      <c r="K13" s="1">
        <f t="shared" si="2"/>
        <v>485000</v>
      </c>
      <c r="L13" s="1">
        <f t="shared" si="3"/>
        <v>15000</v>
      </c>
      <c r="M13" s="1">
        <f t="shared" si="4"/>
        <v>295000</v>
      </c>
    </row>
  </sheetData>
  <conditionalFormatting sqref="H2:H1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L2:L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25" right="0.25" top="0.75" bottom="0.75" header="0.3" footer="0.3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BDA4-AEDE-49DF-87E0-CEA9A0292953}">
  <sheetPr>
    <pageSetUpPr fitToPage="1"/>
  </sheetPr>
  <dimension ref="B2:K3"/>
  <sheetViews>
    <sheetView showGridLines="0" workbookViewId="0">
      <selection activeCell="B1" sqref="B1:L56"/>
    </sheetView>
  </sheetViews>
  <sheetFormatPr defaultRowHeight="15" x14ac:dyDescent="0.25"/>
  <cols>
    <col min="2" max="2" width="20.85546875" bestFit="1" customWidth="1"/>
    <col min="4" max="4" width="20.140625" bestFit="1" customWidth="1"/>
    <col min="6" max="6" width="22.42578125" bestFit="1" customWidth="1"/>
    <col min="8" max="8" width="16.42578125" bestFit="1" customWidth="1"/>
    <col min="10" max="10" width="12.42578125" bestFit="1" customWidth="1"/>
  </cols>
  <sheetData>
    <row r="2" spans="2:11" x14ac:dyDescent="0.25">
      <c r="B2" s="3" t="s">
        <v>23</v>
      </c>
      <c r="C2" s="4"/>
      <c r="D2" s="3" t="s">
        <v>24</v>
      </c>
      <c r="E2" s="4"/>
      <c r="F2" s="3" t="s">
        <v>25</v>
      </c>
      <c r="G2" s="4"/>
      <c r="H2" s="3" t="s">
        <v>26</v>
      </c>
      <c r="I2" s="4"/>
      <c r="J2" s="3" t="s">
        <v>27</v>
      </c>
      <c r="K2" s="7"/>
    </row>
    <row r="3" spans="2:11" x14ac:dyDescent="0.25">
      <c r="B3" s="5">
        <f>SUM(Financial_Data!B2:B13)</f>
        <v>7340000</v>
      </c>
      <c r="C3" s="6"/>
      <c r="D3" s="5">
        <f>SUM(Financial_Data!C2:C13)</f>
        <v>7470000</v>
      </c>
      <c r="E3" s="6"/>
      <c r="F3" s="5">
        <f>SUM(Financial_Data!H2:H13)</f>
        <v>130000</v>
      </c>
      <c r="G3" s="6"/>
      <c r="H3" s="5">
        <f>SUM(Financial_Data!M2:M13)</f>
        <v>2874000</v>
      </c>
      <c r="I3" s="6"/>
      <c r="J3" s="8">
        <f>H3/D3</f>
        <v>0.38473895582329315</v>
      </c>
      <c r="K3" s="9"/>
    </row>
  </sheetData>
  <mergeCells count="10">
    <mergeCell ref="H2:I2"/>
    <mergeCell ref="H3:I3"/>
    <mergeCell ref="J2:K2"/>
    <mergeCell ref="J3:K3"/>
    <mergeCell ref="B2:C2"/>
    <mergeCell ref="B3:C3"/>
    <mergeCell ref="D2:E2"/>
    <mergeCell ref="D3:E3"/>
    <mergeCell ref="F2:G2"/>
    <mergeCell ref="F3:G3"/>
  </mergeCells>
  <pageMargins left="0.25" right="0.25" top="0.75" bottom="0.75" header="0.3" footer="0.3"/>
  <pageSetup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Project_Overview</vt:lpstr>
      <vt:lpstr>Financial_Data</vt:lpstr>
      <vt:lpstr>FP&amp;A_Dashboard</vt:lpstr>
      <vt:lpstr>Financial_Data!Print_Area</vt:lpstr>
      <vt:lpstr>'FP&amp;A_Dashboard'!Print_Area</vt:lpstr>
      <vt:lpstr>Project_Overview!Print_Area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Brown</dc:creator>
  <cp:lastModifiedBy>Jordan Brown</cp:lastModifiedBy>
  <cp:lastPrinted>2026-02-25T02:26:12Z</cp:lastPrinted>
  <dcterms:created xsi:type="dcterms:W3CDTF">2026-02-21T02:26:42Z</dcterms:created>
  <dcterms:modified xsi:type="dcterms:W3CDTF">2026-02-25T02:30:56Z</dcterms:modified>
</cp:coreProperties>
</file>